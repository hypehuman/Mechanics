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human\Ahmil\My Code\Mechanics\"/>
    </mc:Choice>
  </mc:AlternateContent>
  <xr:revisionPtr revIDLastSave="0" documentId="13_ncr:1_{86D02D47-0127-42AA-BC20-03C2814C56DC}" xr6:coauthVersionLast="47" xr6:coauthVersionMax="47" xr10:uidLastSave="{00000000-0000-0000-0000-000000000000}"/>
  <bookViews>
    <workbookView xWindow="-120" yWindow="-120" windowWidth="38640" windowHeight="21120" xr2:uid="{BCCF6670-327D-4911-AE2C-89989FE77C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 s="1"/>
  <c r="K3" i="1"/>
  <c r="K2" i="1"/>
  <c r="G3" i="1"/>
  <c r="G4" i="1" s="1"/>
  <c r="G5" i="1" s="1"/>
  <c r="G6" i="1" s="1"/>
  <c r="G7" i="1" s="1"/>
  <c r="G8" i="1" s="1"/>
  <c r="G9" i="1" s="1"/>
  <c r="G10" i="1" s="1"/>
  <c r="G11" i="1" s="1"/>
  <c r="G12" i="1" s="1"/>
  <c r="D1" i="1"/>
  <c r="D2" i="1"/>
  <c r="K4" i="1" l="1"/>
  <c r="J5" i="1"/>
  <c r="H9" i="1"/>
  <c r="H11" i="1"/>
  <c r="H7" i="1"/>
  <c r="H6" i="1"/>
  <c r="H8" i="1"/>
  <c r="H5" i="1"/>
  <c r="H4" i="1"/>
  <c r="H10" i="1"/>
  <c r="G13" i="1"/>
  <c r="H12" i="1"/>
  <c r="H3" i="1"/>
  <c r="H2" i="1"/>
  <c r="K5" i="1" l="1"/>
  <c r="J6" i="1"/>
  <c r="H13" i="1"/>
  <c r="G14" i="1"/>
  <c r="K6" i="1" l="1"/>
  <c r="J7" i="1"/>
  <c r="H14" i="1"/>
  <c r="G15" i="1"/>
  <c r="J8" i="1" l="1"/>
  <c r="K7" i="1"/>
  <c r="H15" i="1"/>
  <c r="G16" i="1"/>
  <c r="K8" i="1" l="1"/>
  <c r="J9" i="1"/>
  <c r="H16" i="1"/>
  <c r="G17" i="1"/>
  <c r="G18" i="1" s="1"/>
  <c r="H18" i="1" s="1"/>
  <c r="L5" i="1" l="1" a="1"/>
  <c r="L5" i="1" s="1"/>
  <c r="L7" i="1" a="1"/>
  <c r="L7" i="1" s="1"/>
  <c r="L8" i="1" a="1"/>
  <c r="L8" i="1" s="1"/>
  <c r="L9" i="1" a="1"/>
  <c r="L9" i="1" s="1"/>
  <c r="K9" i="1"/>
  <c r="J10" i="1"/>
  <c r="H17" i="1"/>
  <c r="L6" i="1" l="1" a="1"/>
  <c r="L6" i="1" s="1"/>
  <c r="L4" i="1" a="1"/>
  <c r="L4" i="1" s="1"/>
  <c r="J11" i="1"/>
  <c r="K10" i="1"/>
  <c r="L10" i="1" a="1"/>
  <c r="L10" i="1" s="1"/>
  <c r="L3" i="1" a="1"/>
  <c r="L3" i="1" s="1"/>
  <c r="L2" i="1" a="1"/>
  <c r="L2" i="1" s="1"/>
  <c r="K11" i="1" l="1"/>
  <c r="L11" i="1" a="1"/>
  <c r="L11" i="1" s="1"/>
  <c r="J12" i="1"/>
  <c r="K12" i="1" l="1"/>
  <c r="L12" i="1" a="1"/>
  <c r="L12" i="1" s="1"/>
  <c r="J13" i="1"/>
  <c r="K13" i="1" l="1"/>
  <c r="L13" i="1" a="1"/>
  <c r="L13" i="1" s="1"/>
  <c r="J14" i="1"/>
  <c r="K14" i="1" l="1"/>
  <c r="L14" i="1" a="1"/>
  <c r="L1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<sst xmlns="http://schemas.openxmlformats.org/spreadsheetml/2006/main" count="12" uniqueCount="12">
  <si>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Number of pieces</t>
  </si>
  <si>
    <t>M</t>
  </si>
  <si>
    <t>r</t>
  </si>
  <si>
    <t>a</t>
  </si>
  <si>
    <t>Mass per piece</t>
  </si>
  <si>
    <t>G</t>
  </si>
  <si>
    <t>R</t>
  </si>
  <si>
    <t>B1</t>
  </si>
  <si>
    <t>B2</t>
  </si>
  <si>
    <t>Piece Position</t>
  </si>
  <si>
    <t>A</t>
  </si>
  <si>
    <t>Piece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</si>
</sst>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Sheet1!$K$2:$K$34</c:f>
              <c:numCache>
                <c:formatCode>General</c:formatCode>
                <c:ptCount val="33"/>
                <c:pt idx="0">
                  <c:v>-1</c:v>
                </c:pt>
                <c:pt idx="1">
                  <c:v>-0.75</c:v>
                </c:pt>
                <c:pt idx="2">
                  <c:v>-0.5</c:v>
                </c:pt>
                <c:pt idx="3">
                  <c:v>-0.25</c:v>
                </c:pt>
                <c:pt idx="4">
                  <c:v>0</c:v>
                </c:pt>
                <c:pt idx="5">
                  <c:v>0.25</c:v>
                </c:pt>
                <c:pt idx="6">
                  <c:v>0.5</c:v>
                </c:pt>
                <c:pt idx="7">
                  <c:v>0.75</c:v>
                </c:pt>
                <c:pt idx="8">
                  <c:v>1</c:v>
                </c:pt>
                <c:pt idx="9">
                  <c:v>1.25</c:v>
                </c:pt>
                <c:pt idx="10">
                  <c:v>1.5</c:v>
                </c:pt>
                <c:pt idx="11">
                  <c:v>1.75</c:v>
                </c:pt>
                <c:pt idx="12">
                  <c:v>2</c:v>
                </c:pt>
              </c:numCache>
            </c:numRef>
          </c:xVal>
          <c:yVal>
            <c:numRef>
              <c:f>Sheet1!$L$2:$L$34</c:f>
              <c:numCache>
                <c:formatCode>General</c:formatCode>
                <c:ptCount val="33"/>
                <c:pt idx="0">
                  <c:v>-0.49971559905464596</c:v>
                </c:pt>
                <c:pt idx="1">
                  <c:v>-0.76119573368969262</c:v>
                </c:pt>
                <c:pt idx="2">
                  <c:v>-1.3308396281265527</c:v>
                </c:pt>
                <c:pt idx="3">
                  <c:v>-3.1797681697447895</c:v>
                </c:pt>
                <c:pt idx="4">
                  <c:v>-77.957160285867374</c:v>
                </c:pt>
                <c:pt idx="5">
                  <c:v>-2.6470380549989185</c:v>
                </c:pt>
                <c:pt idx="6">
                  <c:v>-1.3322676295501878E-15</c:v>
                </c:pt>
                <c:pt idx="7">
                  <c:v>2.6470380549989088</c:v>
                </c:pt>
                <c:pt idx="8">
                  <c:v>77.95716028586736</c:v>
                </c:pt>
                <c:pt idx="9">
                  <c:v>3.1797681697447899</c:v>
                </c:pt>
                <c:pt idx="10">
                  <c:v>1.3308396281265527</c:v>
                </c:pt>
                <c:pt idx="11">
                  <c:v>0.76119573368969251</c:v>
                </c:pt>
                <c:pt idx="12">
                  <c:v>0.49971559905464585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87-4DC5-95CA-8C8AFD281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2428192"/>
        <c:axId val="2042425312"/>
      </c:scatterChart>
      <c:valAx>
        <c:axId val="2042428192"/>
        <c:scaling>
          <c:orientation val="minMax"/>
          <c:max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425312"/>
        <c:crosses val="autoZero"/>
        <c:crossBetween val="midCat"/>
        <c:majorUnit val="0.25"/>
      </c:valAx>
      <c:valAx>
        <c:axId val="204242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428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552450</xdr:colOff>
      <xdr:row>4</xdr:row>
      <xdr:rowOff>90487</xdr:rowOff>
    </xdr:from>
    <xdr:to>
      <xdr:col>26</xdr:col>
      <xdr:colOff>514350</xdr:colOff>
      <xdr:row>18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82A5AB-D20A-DEBD-49A5-1C9511F395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59997-E1B5-4FDD-A28A-D7F115F26C5F}">
  <dimension ref="A1:L18"/>
  <sheetViews>
    <sheetView tabSelected="1" workbookViewId="0">
      <selection activeCell="Q28" sqref="Q28"/>
    </sheetView>
  </sheetViews>
  <sheetFormatPr defaultRowHeight="15" x14ac:dyDescent="0.25"/>
  <cols>
    <col min="1" max="1" width="8.28515625" customWidth="1"/>
    <col min="2" max="2" width="16.5703125" bestFit="1" customWidth="1"/>
    <col min="5" max="5" width="14.28515625" bestFit="1" customWidth="1"/>
    <col min="7" max="7" width="7.42578125" bestFit="1" customWidth="1"/>
    <col min="8" max="8" width="13.5703125" bestFit="1" customWidth="1"/>
    <col min="10" max="11" width="6.7109375" bestFit="1" customWidth="1"/>
    <col min="12" max="12" width="12.7109375" bestFit="1" customWidth="1"/>
  </cols>
  <sheetData>
    <row r="1" spans="1:12" x14ac:dyDescent="0.25">
      <c r="A1">
        <v>1</v>
      </c>
      <c r="B1" t="s">
        <v>5</v>
      </c>
      <c r="D1">
        <f>A4-A3</f>
        <v>1</v>
      </c>
      <c r="E1" t="s">
        <v>6</v>
      </c>
      <c r="G1" t="s">
        <v>11</v>
      </c>
      <c r="H1" t="s">
        <v>9</v>
      </c>
      <c r="J1" t="s">
        <v>10</v>
      </c>
      <c r="K1" t="s">
        <v>2</v>
      </c>
      <c r="L1" t="s">
        <v>3</v>
      </c>
    </row>
    <row r="2" spans="1:12" x14ac:dyDescent="0.25">
      <c r="A2">
        <v>1</v>
      </c>
      <c r="B2" t="s">
        <v>1</v>
      </c>
      <c r="D2">
        <f>A2/A5</f>
        <v>6.25E-2</v>
      </c>
      <c r="E2" t="s">
        <v>4</v>
      </c>
      <c r="G2">
        <v>0</v>
      </c>
      <c r="H2">
        <f>$A$3+$D$1*(G2+0.5)/$A$5</f>
        <v>3.125E-2</v>
      </c>
      <c r="J2">
        <v>-1</v>
      </c>
      <c r="K2">
        <f>J2-$A$3</f>
        <v>-1</v>
      </c>
      <c r="L2" cm="1">
        <f t="array" ref="L2">SUM(VALUE(IF(ISNUMBER(H:H),$A$1*$A$2*$D$2*SIGN(J2-H:H)/(J2-H:H)^2,0)))</f>
        <v>-0.49971559905464596</v>
      </c>
    </row>
    <row r="3" spans="1:12" x14ac:dyDescent="0.25">
      <c r="A3">
        <v>0</v>
      </c>
      <c r="B3" t="s">
        <v>7</v>
      </c>
      <c r="G3">
        <f>IF(G2+1&lt;$A$5,G2+1,0/0)</f>
        <v>1</v>
      </c>
      <c r="H3">
        <f>$A$3+$D$1*(G3+0.5)/$A$5</f>
        <v>9.375E-2</v>
      </c>
      <c r="J3">
        <f>J2+(1/4)</f>
        <v>-0.75</v>
      </c>
      <c r="K3">
        <f t="shared" ref="K3:K14" si="0">J3-$A$3</f>
        <v>-0.75</v>
      </c>
      <c r="L3" cm="1">
        <f t="array" ref="L3">SUM(VALUE(IF(ISNUMBER(H:H),$A$1*$A$2*$D$2*SIGN(J3-H:H)/(J3-H:H)^2,0)))</f>
        <v>-0.76119573368969262</v>
      </c>
    </row>
    <row r="4" spans="1:12" x14ac:dyDescent="0.25">
      <c r="A4">
        <v>1</v>
      </c>
      <c r="B4" t="s">
        <v>8</v>
      </c>
      <c r="G4">
        <f>IF(G3+1&lt;$A$5,G3+1,0/0)</f>
        <v>2</v>
      </c>
      <c r="H4">
        <f>$A$3+$D$1*(G4+0.5)/$A$5</f>
        <v>0.15625</v>
      </c>
      <c r="J4">
        <f t="shared" ref="J4:J10" si="1">J3+(1/4)</f>
        <v>-0.5</v>
      </c>
      <c r="K4">
        <f t="shared" si="0"/>
        <v>-0.5</v>
      </c>
      <c r="L4" cm="1">
        <f t="array" ref="L4">SUM(VALUE(IF(ISNUMBER(H:H),$A$1*$A$2*$D$2*SIGN(J4-H:H)/(J4-H:H)^2,0)))</f>
        <v>-1.3308396281265527</v>
      </c>
    </row>
    <row r="5" spans="1:12" x14ac:dyDescent="0.25">
      <c r="A5">
        <v>16</v>
      </c>
      <c r="B5" t="s">
        <v>0</v>
      </c>
      <c r="G5">
        <f>IF(G4+1&lt;$A$5,G4+1,0/0)</f>
        <v>3</v>
      </c>
      <c r="H5">
        <f>$A$3+$D$1*(G5+0.5)/$A$5</f>
        <v>0.21875</v>
      </c>
      <c r="J5">
        <f t="shared" si="1"/>
        <v>-0.25</v>
      </c>
      <c r="K5">
        <f t="shared" si="0"/>
        <v>-0.25</v>
      </c>
      <c r="L5" cm="1">
        <f t="array" ref="L5">SUM(VALUE(IF(ISNUMBER(H:H),$A$1*$A$2*$D$2*SIGN(J5-H:H)/(J5-H:H)^2,0)))</f>
        <v>-3.1797681697447895</v>
      </c>
    </row>
    <row r="6" spans="1:12" x14ac:dyDescent="0.25">
      <c r="G6">
        <f>IF(G5+1&lt;$A$5,G5+1,0/0)</f>
        <v>4</v>
      </c>
      <c r="H6">
        <f>$A$3+$D$1*(G6+0.5)/$A$5</f>
        <v>0.28125</v>
      </c>
      <c r="J6">
        <f t="shared" si="1"/>
        <v>0</v>
      </c>
      <c r="K6">
        <f t="shared" si="0"/>
        <v>0</v>
      </c>
      <c r="L6" cm="1">
        <f t="array" ref="L6">SUM(VALUE(IF(ISNUMBER(H:H),$A$1*$A$2*$D$2*SIGN(J6-H:H)/(J6-H:H)^2,0)))</f>
        <v>-77.957160285867374</v>
      </c>
    </row>
    <row r="7" spans="1:12" x14ac:dyDescent="0.25">
      <c r="G7">
        <f>IF(G6+1&lt;$A$5,G6+1,0/0)</f>
        <v>5</v>
      </c>
      <c r="H7">
        <f>$A$3+$D$1*(G7+0.5)/$A$5</f>
        <v>0.34375</v>
      </c>
      <c r="J7">
        <f t="shared" si="1"/>
        <v>0.25</v>
      </c>
      <c r="K7">
        <f t="shared" si="0"/>
        <v>0.25</v>
      </c>
      <c r="L7" cm="1">
        <f t="array" ref="L7">SUM(VALUE(IF(ISNUMBER(H:H),$A$1*$A$2*$D$2*SIGN(J7-H:H)/(J7-H:H)^2,0)))</f>
        <v>-2.6470380549989185</v>
      </c>
    </row>
    <row r="8" spans="1:12" x14ac:dyDescent="0.25">
      <c r="G8">
        <f>IF(G7+1&lt;$A$5,G7+1,0/0)</f>
        <v>6</v>
      </c>
      <c r="H8">
        <f>$A$3+$D$1*(G8+0.5)/$A$5</f>
        <v>0.40625</v>
      </c>
      <c r="J8">
        <f t="shared" si="1"/>
        <v>0.5</v>
      </c>
      <c r="K8">
        <f t="shared" si="0"/>
        <v>0.5</v>
      </c>
      <c r="L8" cm="1">
        <f t="array" ref="L8">SUM(VALUE(IF(ISNUMBER(H:H),$A$1*$A$2*$D$2*SIGN(J8-H:H)/(J8-H:H)^2,0)))</f>
        <v>-1.3322676295501878E-15</v>
      </c>
    </row>
    <row r="9" spans="1:12" x14ac:dyDescent="0.25">
      <c r="G9">
        <f>IF(G8+1&lt;$A$5,G8+1,0/0)</f>
        <v>7</v>
      </c>
      <c r="H9">
        <f>$A$3+$D$1*(G9+0.5)/$A$5</f>
        <v>0.46875</v>
      </c>
      <c r="J9">
        <f t="shared" si="1"/>
        <v>0.75</v>
      </c>
      <c r="K9">
        <f t="shared" si="0"/>
        <v>0.75</v>
      </c>
      <c r="L9" cm="1">
        <f t="array" ref="L9">SUM(VALUE(IF(ISNUMBER(H:H),$A$1*$A$2*$D$2*SIGN(J9-H:H)/(J9-H:H)^2,0)))</f>
        <v>2.6470380549989088</v>
      </c>
    </row>
    <row r="10" spans="1:12" x14ac:dyDescent="0.25">
      <c r="G10">
        <f>IF(G9+1&lt;$A$5,G9+1,0/0)</f>
        <v>8</v>
      </c>
      <c r="H10">
        <f>$A$3+$D$1*(G10+0.5)/$A$5</f>
        <v>0.53125</v>
      </c>
      <c r="J10">
        <f t="shared" si="1"/>
        <v>1</v>
      </c>
      <c r="K10">
        <f t="shared" si="0"/>
        <v>1</v>
      </c>
      <c r="L10" cm="1">
        <f t="array" ref="L10">SUM(VALUE(IF(ISNUMBER(H:H),$A$1*$A$2*$D$2*SIGN(J10-H:H)/(J10-H:H)^2,0)))</f>
        <v>77.95716028586736</v>
      </c>
    </row>
    <row r="11" spans="1:12" x14ac:dyDescent="0.25">
      <c r="G11">
        <f>IF(G10+1&lt;$A$5,G10+1,0/0)</f>
        <v>9</v>
      </c>
      <c r="H11">
        <f>$A$3+$D$1*(G11+0.5)/$A$5</f>
        <v>0.59375</v>
      </c>
      <c r="J11">
        <f t="shared" ref="J11:J14" si="2">J10+(1/4)</f>
        <v>1.25</v>
      </c>
      <c r="K11">
        <f t="shared" si="0"/>
        <v>1.25</v>
      </c>
      <c r="L11" cm="1">
        <f t="array" ref="L11">SUM(VALUE(IF(ISNUMBER(H:H),$A$1*$A$2*$D$2*SIGN(J11-H:H)/(J11-H:H)^2,0)))</f>
        <v>3.1797681697447899</v>
      </c>
    </row>
    <row r="12" spans="1:12" x14ac:dyDescent="0.25">
      <c r="G12">
        <f>IF(G11+1&lt;$A$5,G11+1,0/0)</f>
        <v>10</v>
      </c>
      <c r="H12">
        <f>$A$3+$D$1*(G12+0.5)/$A$5</f>
        <v>0.65625</v>
      </c>
      <c r="J12">
        <f t="shared" si="2"/>
        <v>1.5</v>
      </c>
      <c r="K12">
        <f t="shared" si="0"/>
        <v>1.5</v>
      </c>
      <c r="L12" cm="1">
        <f t="array" ref="L12">SUM(VALUE(IF(ISNUMBER(H:H),$A$1*$A$2*$D$2*SIGN(J12-H:H)/(J12-H:H)^2,0)))</f>
        <v>1.3308396281265527</v>
      </c>
    </row>
    <row r="13" spans="1:12" x14ac:dyDescent="0.25">
      <c r="G13">
        <f>IF(G12+1&lt;$A$5,G12+1,0/0)</f>
        <v>11</v>
      </c>
      <c r="H13">
        <f>$A$3+$D$1*(G13+0.5)/$A$5</f>
        <v>0.71875</v>
      </c>
      <c r="J13">
        <f t="shared" si="2"/>
        <v>1.75</v>
      </c>
      <c r="K13">
        <f t="shared" si="0"/>
        <v>1.75</v>
      </c>
      <c r="L13" cm="1">
        <f t="array" ref="L13">SUM(VALUE(IF(ISNUMBER(H:H),$A$1*$A$2*$D$2*SIGN(J13-H:H)/(J13-H:H)^2,0)))</f>
        <v>0.76119573368969251</v>
      </c>
    </row>
    <row r="14" spans="1:12" x14ac:dyDescent="0.25">
      <c r="G14">
        <f>IF(G13+1&lt;$A$5,G13+1,0/0)</f>
        <v>12</v>
      </c>
      <c r="H14">
        <f>$A$3+$D$1*(G14+0.5)/$A$5</f>
        <v>0.78125</v>
      </c>
      <c r="J14">
        <f t="shared" si="2"/>
        <v>2</v>
      </c>
      <c r="K14">
        <f t="shared" si="0"/>
        <v>2</v>
      </c>
      <c r="L14" cm="1">
        <f t="array" ref="L14">SUM(VALUE(IF(ISNUMBER(H:H),$A$1*$A$2*$D$2*SIGN(J14-H:H)/(J14-H:H)^2,0)))</f>
        <v>0.49971559905464585</v>
      </c>
    </row>
    <row r="15" spans="1:12" x14ac:dyDescent="0.25">
      <c r="G15">
        <f>IF(G14+1&lt;$A$5,G14+1,0/0)</f>
        <v>13</v>
      </c>
      <c r="H15">
        <f>$A$3+$D$1*(G15+0.5)/$A$5</f>
        <v>0.84375</v>
      </c>
    </row>
    <row r="16" spans="1:12" x14ac:dyDescent="0.25">
      <c r="G16">
        <f>IF(G15+1&lt;$A$5,G15+1,0/0)</f>
        <v>14</v>
      </c>
      <c r="H16">
        <f>$A$3+$D$1*(G16+0.5)/$A$5</f>
        <v>0.90625</v>
      </c>
    </row>
    <row r="17" spans="7:8" x14ac:dyDescent="0.25">
      <c r="G17">
        <f>IF(G16+1&lt;$A$5,G16+1,0/0)</f>
        <v>15</v>
      </c>
      <c r="H17">
        <f>$A$3+$D$1*(G17+0.5)/$A$5</f>
        <v>0.96875</v>
      </c>
    </row>
    <row r="18" spans="7:8" x14ac:dyDescent="0.25">
      <c r="G18" t="e">
        <f>IF(G17+1&lt;$A$5,G17+1,0/0)</f>
        <v>#DIV/0!</v>
      </c>
      <c r="H18" t="e">
        <f>$A$3+$D$1*(G18+0.5)/$A$5</f>
        <v>#DIV/0!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Ahmil Jilani</dc:creator>
  <cp:lastModifiedBy>Ahmil Jilani</cp:lastModifiedBy>
  <dcterms:created xsi:type="dcterms:W3CDTF">2026-03-22T11:49:46Z</dcterms:created>
  <dcterms:modified xsi:type="dcterms:W3CDTF">2026-03-22T12:53:43Z</dcterms:modified>
</cp:coreProperties>
</file>