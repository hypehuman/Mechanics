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ypehuman\Ahmil\My Code\Mechanics\"/>
    </mc:Choice>
  </mc:AlternateContent>
  <xr:revisionPtr revIDLastSave="0" documentId="13_ncr:1_{C6729257-3623-4D09-8A6A-0BB45C0188A0}" xr6:coauthVersionLast="47" xr6:coauthVersionMax="47" xr10:uidLastSave="{00000000-0000-0000-0000-000000000000}"/>
  <bookViews>
    <workbookView xWindow="4680" yWindow="4680" windowWidth="26445" windowHeight="14130" xr2:uid="{BCCF6670-327D-4911-AE2C-89989FE77C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1" l="1"/>
  <c r="J4" i="1"/>
  <c r="J6" i="1" s="1"/>
  <c r="K4" i="1"/>
  <c r="K6" i="1" s="1"/>
  <c r="N4" i="1"/>
  <c r="O4" i="1"/>
  <c r="P4" i="1"/>
  <c r="W4" i="1"/>
  <c r="X4" i="1"/>
  <c r="I4" i="1"/>
  <c r="G7" i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J18" i="1" s="1"/>
  <c r="D3" i="1"/>
  <c r="L4" i="1" s="1"/>
  <c r="D4" i="1"/>
  <c r="K8" i="1" s="1"/>
  <c r="O15" i="1" l="1"/>
  <c r="O18" i="1"/>
  <c r="N18" i="1"/>
  <c r="O17" i="1"/>
  <c r="N17" i="1"/>
  <c r="O16" i="1"/>
  <c r="O14" i="1"/>
  <c r="O13" i="1"/>
  <c r="O12" i="1"/>
  <c r="O11" i="1"/>
  <c r="P7" i="1"/>
  <c r="O10" i="1"/>
  <c r="O7" i="1"/>
  <c r="O9" i="1"/>
  <c r="O8" i="1"/>
  <c r="J8" i="1"/>
  <c r="J7" i="1"/>
  <c r="I14" i="1"/>
  <c r="I10" i="1"/>
  <c r="I6" i="1"/>
  <c r="X17" i="1"/>
  <c r="X14" i="1"/>
  <c r="X11" i="1"/>
  <c r="X9" i="1"/>
  <c r="W18" i="1"/>
  <c r="W17" i="1"/>
  <c r="W16" i="1"/>
  <c r="W15" i="1"/>
  <c r="W14" i="1"/>
  <c r="W13" i="1"/>
  <c r="W12" i="1"/>
  <c r="W11" i="1"/>
  <c r="W10" i="1"/>
  <c r="W9" i="1"/>
  <c r="W8" i="1"/>
  <c r="O6" i="1"/>
  <c r="J17" i="1"/>
  <c r="J14" i="1"/>
  <c r="J11" i="1"/>
  <c r="I15" i="1"/>
  <c r="I9" i="1"/>
  <c r="X18" i="1"/>
  <c r="W6" i="1"/>
  <c r="T14" i="1"/>
  <c r="T13" i="1"/>
  <c r="T12" i="1"/>
  <c r="T4" i="1"/>
  <c r="T11" i="1" s="1"/>
  <c r="T6" i="1"/>
  <c r="T7" i="1"/>
  <c r="S18" i="1"/>
  <c r="S17" i="1"/>
  <c r="S16" i="1"/>
  <c r="S15" i="1"/>
  <c r="S14" i="1"/>
  <c r="S13" i="1"/>
  <c r="S12" i="1"/>
  <c r="S11" i="1"/>
  <c r="S10" i="1"/>
  <c r="S8" i="1"/>
  <c r="P6" i="1"/>
  <c r="K7" i="1"/>
  <c r="J16" i="1"/>
  <c r="J13" i="1"/>
  <c r="J10" i="1"/>
  <c r="I18" i="1"/>
  <c r="I13" i="1"/>
  <c r="I11" i="1"/>
  <c r="I7" i="1"/>
  <c r="X15" i="1"/>
  <c r="X13" i="1"/>
  <c r="X10" i="1"/>
  <c r="X7" i="1"/>
  <c r="I16" i="1"/>
  <c r="X16" i="1"/>
  <c r="X12" i="1"/>
  <c r="X8" i="1"/>
  <c r="X6" i="1"/>
  <c r="W7" i="1"/>
  <c r="V4" i="1"/>
  <c r="V16" i="1" s="1"/>
  <c r="U4" i="1"/>
  <c r="U9" i="1" s="1"/>
  <c r="T18" i="1"/>
  <c r="S4" i="1"/>
  <c r="S9" i="1" s="1"/>
  <c r="R4" i="1"/>
  <c r="R14" i="1" s="1"/>
  <c r="R6" i="1"/>
  <c r="R7" i="1"/>
  <c r="Q16" i="1"/>
  <c r="Q15" i="1"/>
  <c r="Q14" i="1"/>
  <c r="J15" i="1"/>
  <c r="J12" i="1"/>
  <c r="J9" i="1"/>
  <c r="I17" i="1"/>
  <c r="I12" i="1"/>
  <c r="I8" i="1"/>
  <c r="S6" i="1"/>
  <c r="S7" i="1"/>
  <c r="R15" i="1"/>
  <c r="R13" i="1"/>
  <c r="R11" i="1"/>
  <c r="R9" i="1"/>
  <c r="Q4" i="1"/>
  <c r="Q13" i="1" s="1"/>
  <c r="Q7" i="1"/>
  <c r="P18" i="1"/>
  <c r="P17" i="1"/>
  <c r="P16" i="1"/>
  <c r="P15" i="1"/>
  <c r="P14" i="1"/>
  <c r="P13" i="1"/>
  <c r="P12" i="1"/>
  <c r="P11" i="1"/>
  <c r="P10" i="1"/>
  <c r="P9" i="1"/>
  <c r="P8" i="1"/>
  <c r="N15" i="1"/>
  <c r="N14" i="1"/>
  <c r="N13" i="1"/>
  <c r="N12" i="1"/>
  <c r="N11" i="1"/>
  <c r="N10" i="1"/>
  <c r="N9" i="1"/>
  <c r="N8" i="1"/>
  <c r="N6" i="1"/>
  <c r="N7" i="1"/>
  <c r="M4" i="1"/>
  <c r="M11" i="1" s="1"/>
  <c r="L18" i="1"/>
  <c r="L17" i="1"/>
  <c r="L16" i="1"/>
  <c r="L15" i="1"/>
  <c r="L14" i="1"/>
  <c r="L13" i="1"/>
  <c r="L12" i="1"/>
  <c r="L11" i="1"/>
  <c r="L10" i="1"/>
  <c r="L9" i="1"/>
  <c r="L8" i="1"/>
  <c r="L6" i="1"/>
  <c r="L7" i="1"/>
  <c r="K18" i="1"/>
  <c r="K17" i="1"/>
  <c r="K16" i="1"/>
  <c r="K15" i="1"/>
  <c r="K14" i="1"/>
  <c r="K13" i="1"/>
  <c r="K12" i="1"/>
  <c r="K11" i="1"/>
  <c r="K10" i="1"/>
  <c r="K9" i="1"/>
  <c r="V9" i="1" l="1"/>
  <c r="V17" i="1"/>
  <c r="U10" i="1"/>
  <c r="V18" i="1"/>
  <c r="U11" i="1"/>
  <c r="T15" i="1"/>
  <c r="Q6" i="1"/>
  <c r="U14" i="1"/>
  <c r="T16" i="1"/>
  <c r="V14" i="1"/>
  <c r="U15" i="1"/>
  <c r="Y15" i="1" s="1"/>
  <c r="U18" i="1"/>
  <c r="T17" i="1"/>
  <c r="T8" i="1"/>
  <c r="U13" i="1"/>
  <c r="Y13" i="1" s="1"/>
  <c r="T9" i="1"/>
  <c r="Y9" i="1" s="1"/>
  <c r="U17" i="1"/>
  <c r="R10" i="1"/>
  <c r="T10" i="1"/>
  <c r="V7" i="1"/>
  <c r="V8" i="1"/>
  <c r="M8" i="1"/>
  <c r="Q18" i="1"/>
  <c r="M12" i="1"/>
  <c r="U7" i="1"/>
  <c r="M14" i="1"/>
  <c r="R17" i="1"/>
  <c r="R12" i="1"/>
  <c r="M17" i="1"/>
  <c r="Y17" i="1" s="1"/>
  <c r="Q8" i="1"/>
  <c r="V6" i="1"/>
  <c r="M18" i="1"/>
  <c r="Q9" i="1"/>
  <c r="R16" i="1"/>
  <c r="V10" i="1"/>
  <c r="Q17" i="1"/>
  <c r="M13" i="1"/>
  <c r="V11" i="1"/>
  <c r="V12" i="1"/>
  <c r="U8" i="1"/>
  <c r="R8" i="1"/>
  <c r="U12" i="1"/>
  <c r="U16" i="1"/>
  <c r="Y14" i="1"/>
  <c r="U6" i="1"/>
  <c r="Q10" i="1"/>
  <c r="R18" i="1"/>
  <c r="V13" i="1"/>
  <c r="M9" i="1"/>
  <c r="M15" i="1"/>
  <c r="V15" i="1"/>
  <c r="M16" i="1"/>
  <c r="Y16" i="1" s="1"/>
  <c r="Q11" i="1"/>
  <c r="Y11" i="1" s="1"/>
  <c r="M7" i="1"/>
  <c r="Y7" i="1" s="1"/>
  <c r="Q12" i="1"/>
  <c r="M10" i="1"/>
  <c r="Y10" i="1" s="1"/>
  <c r="M6" i="1"/>
  <c r="Y6" i="1" s="1"/>
  <c r="Y8" i="1" l="1"/>
  <c r="Y18" i="1"/>
  <c r="Y12" i="1"/>
</calcChain>
</file>

<file path=xl/sharedStrings.xml><?xml version="1.0" encoding="utf-8"?>
<sst xmlns="http://schemas.openxmlformats.org/spreadsheetml/2006/main" count="14" uniqueCount="14">
  <si>
    <t>Number of pieces</t>
  </si>
  <si>
    <t>M</t>
  </si>
  <si>
    <t>a</t>
  </si>
  <si>
    <t>Mass per piece</t>
  </si>
  <si>
    <t>G</t>
  </si>
  <si>
    <t>R</t>
  </si>
  <si>
    <t>B1</t>
  </si>
  <si>
    <t>B2</t>
  </si>
  <si>
    <t>Piece Position</t>
  </si>
  <si>
    <t>A</t>
  </si>
  <si>
    <t>Piece i</t>
  </si>
  <si>
    <t>Computed constants</t>
  </si>
  <si>
    <t>Fundamental constants</t>
  </si>
  <si>
    <t>Acceleration (a) by subject position (A) and by piece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</si>
</sst>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E+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1" fontId="0" fillId="0" borderId="0" xfId="0" applyNumberFormat="1"/>
    <xf numFmtId="0" fontId="1" fillId="0" borderId="0" xfId="0" applyFont="1"/>
    <xf numFmtId="0" fontId="0" fillId="0" borderId="0" xfId="0" applyAlignment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11" fontId="1" fillId="0" borderId="0" xfId="0" applyNumberFormat="1" applyFont="1"/>
    <xf numFmtId="2" fontId="0" fillId="0" borderId="0" xfId="0" applyNumberFormat="1"/>
    <xf numFmtId="17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Sheet1!$Y$5</c:f>
              <c:strCache>
                <c:ptCount val="1"/>
                <c:pt idx="0">
                  <c:v>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Sheet1!$G$6:$G$18</c:f>
              <c:numCache>
                <c:formatCode>General</c:formatCode>
                <c:ptCount val="13"/>
                <c:pt idx="0">
                  <c:v>-1</c:v>
                </c:pt>
                <c:pt idx="1">
                  <c:v>-0.75</c:v>
                </c:pt>
                <c:pt idx="2">
                  <c:v>-0.5</c:v>
                </c:pt>
                <c:pt idx="3">
                  <c:v>-0.25</c:v>
                </c:pt>
                <c:pt idx="4">
                  <c:v>0</c:v>
                </c:pt>
                <c:pt idx="5">
                  <c:v>0.25</c:v>
                </c:pt>
                <c:pt idx="6">
                  <c:v>0.5</c:v>
                </c:pt>
                <c:pt idx="7">
                  <c:v>0.75</c:v>
                </c:pt>
                <c:pt idx="8">
                  <c:v>1</c:v>
                </c:pt>
                <c:pt idx="9">
                  <c:v>1.25</c:v>
                </c:pt>
                <c:pt idx="10">
                  <c:v>1.5</c:v>
                </c:pt>
                <c:pt idx="11">
                  <c:v>1.75</c:v>
                </c:pt>
                <c:pt idx="12">
                  <c:v>2</c:v>
                </c:pt>
              </c:numCache>
            </c:numRef>
          </c:xVal>
          <c:yVal>
            <c:numRef>
              <c:f>Sheet1!$Y$6:$Y$18</c:f>
              <c:numCache>
                <c:formatCode>0.00E+00</c:formatCode>
                <c:ptCount val="13"/>
                <c:pt idx="0">
                  <c:v>-3.335251822770423E-11</c:v>
                </c:pt>
                <c:pt idx="1">
                  <c:v>-5.0804486853651148E-11</c:v>
                </c:pt>
                <c:pt idx="2">
                  <c:v>-8.8824229300050502E-11</c:v>
                </c:pt>
                <c:pt idx="3">
                  <c:v>-2.1222726695327648E-10</c:v>
                </c:pt>
                <c:pt idx="4">
                  <c:v>-5.2030947489596425E-9</c:v>
                </c:pt>
                <c:pt idx="5">
                  <c:v>-1.7667126090479272E-10</c:v>
                </c:pt>
                <c:pt idx="6">
                  <c:v>3.5866034372416434E-25</c:v>
                </c:pt>
                <c:pt idx="7">
                  <c:v>1.7667126090479192E-10</c:v>
                </c:pt>
                <c:pt idx="8">
                  <c:v>5.2030947489596449E-9</c:v>
                </c:pt>
                <c:pt idx="9">
                  <c:v>2.122272669532765E-10</c:v>
                </c:pt>
                <c:pt idx="10">
                  <c:v>8.8824229300050502E-11</c:v>
                </c:pt>
                <c:pt idx="11">
                  <c:v>5.0804486853651142E-11</c:v>
                </c:pt>
                <c:pt idx="12">
                  <c:v>3.335251822770423E-11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C4-47D5-9F27-EE1B5D9874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6779119"/>
        <c:axId val="336777199"/>
      </c:scatterChart>
      <c:valAx>
        <c:axId val="336779119"/>
        <c:scaling>
          <c:orientation val="minMax"/>
          <c:max val="2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777199"/>
        <c:crosses val="autoZero"/>
        <c:crossBetween val="midCat"/>
        <c:majorUnit val="1"/>
        <c:minorUnit val="0.25"/>
      </c:valAx>
      <c:valAx>
        <c:axId val="33677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779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8</xdr:row>
      <xdr:rowOff>76200</xdr:rowOff>
    </xdr:from>
    <xdr:to>
      <xdr:col>5</xdr:col>
      <xdr:colOff>419100</xdr:colOff>
      <xdr:row>17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9AC302-02B5-356E-E4F6-F8D21A43C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9997-E1B5-4FDD-A28A-D7F115F26C5F}">
  <dimension ref="A1:AA19"/>
  <sheetViews>
    <sheetView tabSelected="1" workbookViewId="0"/>
  </sheetViews>
  <sheetFormatPr defaultRowHeight="15" x14ac:dyDescent="0.25"/>
  <cols>
    <col min="1" max="1" width="8.28515625" customWidth="1"/>
    <col min="2" max="2" width="16.5703125" bestFit="1" customWidth="1"/>
    <col min="3" max="3" width="2.85546875" customWidth="1"/>
    <col min="5" max="5" width="14.28515625" bestFit="1" customWidth="1"/>
    <col min="6" max="6" width="8.42578125" customWidth="1"/>
    <col min="7" max="7" width="5.7109375" bestFit="1" customWidth="1"/>
    <col min="8" max="8" width="2.85546875" customWidth="1"/>
    <col min="9" max="24" width="8" bestFit="1" customWidth="1"/>
    <col min="25" max="25" width="9.140625" bestFit="1" customWidth="1"/>
    <col min="26" max="27" width="9" customWidth="1"/>
  </cols>
  <sheetData>
    <row r="1" spans="1:27" x14ac:dyDescent="0.25">
      <c r="A1" t="s">
        <v>12</v>
      </c>
      <c r="D1" t="s">
        <v>11</v>
      </c>
      <c r="G1" s="3" t="s">
        <v>13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7" x14ac:dyDescent="0.25"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7" x14ac:dyDescent="0.25">
      <c r="A3" s="1">
        <v>6.6742999999999994E-11</v>
      </c>
      <c r="B3" t="s">
        <v>4</v>
      </c>
      <c r="D3">
        <f>A6-A5</f>
        <v>1</v>
      </c>
      <c r="E3" t="s">
        <v>5</v>
      </c>
      <c r="H3" s="4" t="s">
        <v>10</v>
      </c>
      <c r="I3">
        <v>0</v>
      </c>
      <c r="J3">
        <v>1</v>
      </c>
      <c r="K3">
        <v>2</v>
      </c>
      <c r="L3">
        <v>3</v>
      </c>
      <c r="M3">
        <v>4</v>
      </c>
      <c r="N3">
        <v>5</v>
      </c>
      <c r="O3">
        <v>6</v>
      </c>
      <c r="P3">
        <v>7</v>
      </c>
      <c r="Q3">
        <v>8</v>
      </c>
      <c r="R3">
        <v>9</v>
      </c>
      <c r="S3">
        <v>10</v>
      </c>
      <c r="T3">
        <v>11</v>
      </c>
      <c r="U3">
        <v>12</v>
      </c>
      <c r="V3">
        <v>13</v>
      </c>
      <c r="W3">
        <v>14</v>
      </c>
      <c r="X3">
        <v>15</v>
      </c>
    </row>
    <row r="4" spans="1:27" x14ac:dyDescent="0.25">
      <c r="A4">
        <v>1</v>
      </c>
      <c r="B4" t="s">
        <v>1</v>
      </c>
      <c r="D4">
        <f>A4/A7</f>
        <v>6.25E-2</v>
      </c>
      <c r="E4" t="s">
        <v>3</v>
      </c>
      <c r="H4" s="4" t="s">
        <v>8</v>
      </c>
      <c r="I4" s="7">
        <f>$A$5+$D$3*(I3+0.5)/$A$7</f>
        <v>3.125E-2</v>
      </c>
      <c r="J4" s="7">
        <f t="shared" ref="J4:X4" si="0">$A$5+$D$3*(J3+0.5)/$A$7</f>
        <v>9.375E-2</v>
      </c>
      <c r="K4" s="7">
        <f t="shared" si="0"/>
        <v>0.15625</v>
      </c>
      <c r="L4" s="7">
        <f t="shared" si="0"/>
        <v>0.21875</v>
      </c>
      <c r="M4" s="7">
        <f t="shared" si="0"/>
        <v>0.28125</v>
      </c>
      <c r="N4" s="7">
        <f t="shared" si="0"/>
        <v>0.34375</v>
      </c>
      <c r="O4" s="7">
        <f t="shared" si="0"/>
        <v>0.40625</v>
      </c>
      <c r="P4" s="7">
        <f t="shared" si="0"/>
        <v>0.46875</v>
      </c>
      <c r="Q4" s="7">
        <f t="shared" si="0"/>
        <v>0.53125</v>
      </c>
      <c r="R4" s="7">
        <f t="shared" si="0"/>
        <v>0.59375</v>
      </c>
      <c r="S4" s="7">
        <f t="shared" si="0"/>
        <v>0.65625</v>
      </c>
      <c r="T4" s="7">
        <f t="shared" si="0"/>
        <v>0.71875</v>
      </c>
      <c r="U4" s="7">
        <f t="shared" si="0"/>
        <v>0.78125</v>
      </c>
      <c r="V4" s="7">
        <f t="shared" si="0"/>
        <v>0.84375</v>
      </c>
      <c r="W4" s="7">
        <f t="shared" si="0"/>
        <v>0.90625</v>
      </c>
      <c r="X4" s="7">
        <f t="shared" si="0"/>
        <v>0.96875</v>
      </c>
      <c r="Z4" s="1"/>
      <c r="AA4" s="1"/>
    </row>
    <row r="5" spans="1:27" x14ac:dyDescent="0.25">
      <c r="A5">
        <v>0</v>
      </c>
      <c r="B5" t="s">
        <v>6</v>
      </c>
      <c r="G5" s="5" t="s">
        <v>9</v>
      </c>
      <c r="Y5" s="2" t="s">
        <v>2</v>
      </c>
      <c r="Z5" s="1"/>
      <c r="AA5" s="1"/>
    </row>
    <row r="6" spans="1:27" x14ac:dyDescent="0.25">
      <c r="A6">
        <v>1</v>
      </c>
      <c r="B6" t="s">
        <v>7</v>
      </c>
      <c r="G6">
        <v>-1</v>
      </c>
      <c r="I6" s="8">
        <f>$A$3*$D$4*SIGN($G6-I$4)/($G6-I$4)^2</f>
        <v>-3.9224536271808994E-12</v>
      </c>
      <c r="J6" s="8">
        <f>$A$3*$D$4*SIGN($G6-J$4)/($G6-J$4)^2</f>
        <v>-3.4869812244897956E-12</v>
      </c>
      <c r="K6" s="8">
        <f>$A$3*$D$4*SIGN($G6-K$4)/($G6-K$4)^2</f>
        <v>-3.1201986851716579E-12</v>
      </c>
      <c r="L6" s="8">
        <f>$A$3*$D$4*SIGN($G6-L$4)/($G6-L$4)^2</f>
        <v>-2.8083839579224193E-12</v>
      </c>
      <c r="M6" s="8">
        <f>$A$3*$D$4*SIGN($G6-M$4)/($G6-M$4)^2</f>
        <v>-2.5410779298036882E-12</v>
      </c>
      <c r="N6" s="8">
        <f>$A$3*$D$4*SIGN($G6-N$4)/($G6-N$4)^2</f>
        <v>-2.3101957815035153E-12</v>
      </c>
      <c r="O6" s="8">
        <f>$A$3*$D$4*SIGN($G6-O$4)/($G6-O$4)^2</f>
        <v>-2.1094083950617284E-12</v>
      </c>
      <c r="P6" s="8">
        <f>$A$3*$D$4*SIGN($G6-P$4)/($G6-P$4)^2</f>
        <v>-1.9337039384336801E-12</v>
      </c>
      <c r="Q6" s="8">
        <f>$A$3*$D$4*SIGN($G6-Q$4)/($G6-Q$4)^2</f>
        <v>-1.7790720533111202E-12</v>
      </c>
      <c r="R6" s="8">
        <f>$A$3*$D$4*SIGN($G6-R$4)/($G6-R$4)^2</f>
        <v>-1.6422729719338714E-12</v>
      </c>
      <c r="S6" s="8">
        <f>$A$3*$D$4*SIGN($G6-S$4)/($G6-S$4)^2</f>
        <v>-1.5206664293342826E-12</v>
      </c>
      <c r="T6" s="8">
        <f>$A$3*$D$4*SIGN($G6-T$4)/($G6-T$4)^2</f>
        <v>-1.4120833057851238E-12</v>
      </c>
      <c r="U6" s="8">
        <f>$A$3*$D$4*SIGN($G6-U$4)/($G6-U$4)^2</f>
        <v>-1.3147282240689442E-12</v>
      </c>
      <c r="V6" s="8">
        <f>$A$3*$D$4*SIGN($G6-V$4)/($G6-V$4)^2</f>
        <v>-1.2271048549267451E-12</v>
      </c>
      <c r="W6" s="8">
        <f>$A$3*$D$4*SIGN($G6-W$4)/($G6-W$4)^2</f>
        <v>-1.1479580757860789E-12</v>
      </c>
      <c r="X6" s="8">
        <f>$A$3*$D$4*SIGN($G6-X$4)/($G6-X$4)^2</f>
        <v>-1.0762287729906776E-12</v>
      </c>
      <c r="Y6" s="6">
        <f>SUM(I6:X6)</f>
        <v>-3.335251822770423E-11</v>
      </c>
      <c r="Z6" s="1"/>
      <c r="AA6" s="1"/>
    </row>
    <row r="7" spans="1:27" x14ac:dyDescent="0.25">
      <c r="A7">
        <v>16</v>
      </c>
      <c r="B7" t="s">
        <v>0</v>
      </c>
      <c r="G7">
        <f>G6+(1/4)</f>
        <v>-0.75</v>
      </c>
      <c r="I7" s="8">
        <f>$A$3*$D$4*SIGN($G7-I$4)/($G7-I$4)^2</f>
        <v>-6.8344831999999996E-12</v>
      </c>
      <c r="J7" s="8">
        <f>$A$3*$D$4*SIGN($G7-J$4)/($G7-J$4)^2</f>
        <v>-5.8594677640603565E-12</v>
      </c>
      <c r="K7" s="8">
        <f>$A$3*$D$4*SIGN($G7-K$4)/($G7-K$4)^2</f>
        <v>-5.0791343638525559E-12</v>
      </c>
      <c r="L7" s="8">
        <f>$A$3*$D$4*SIGN($G7-L$4)/($G7-L$4)^2</f>
        <v>-4.4449032258064514E-12</v>
      </c>
      <c r="M7" s="8">
        <f>$A$3*$D$4*SIGN($G7-M$4)/($G7-M$4)^2</f>
        <v>-3.9224536271808994E-12</v>
      </c>
      <c r="N7" s="8">
        <f>$A$3*$D$4*SIGN($G7-N$4)/($G7-N$4)^2</f>
        <v>-3.4869812244897956E-12</v>
      </c>
      <c r="O7" s="8">
        <f>$A$3*$D$4*SIGN($G7-O$4)/($G7-O$4)^2</f>
        <v>-3.1201986851716579E-12</v>
      </c>
      <c r="P7" s="8">
        <f>$A$3*$D$4*SIGN($G7-P$4)/($G7-P$4)^2</f>
        <v>-2.8083839579224193E-12</v>
      </c>
      <c r="Q7" s="8">
        <f>$A$3*$D$4*SIGN($G7-Q$4)/($G7-Q$4)^2</f>
        <v>-2.5410779298036882E-12</v>
      </c>
      <c r="R7" s="8">
        <f>$A$3*$D$4*SIGN($G7-R$4)/($G7-R$4)^2</f>
        <v>-2.3101957815035153E-12</v>
      </c>
      <c r="S7" s="8">
        <f>$A$3*$D$4*SIGN($G7-S$4)/($G7-S$4)^2</f>
        <v>-2.1094083950617284E-12</v>
      </c>
      <c r="T7" s="8">
        <f>$A$3*$D$4*SIGN($G7-T$4)/($G7-T$4)^2</f>
        <v>-1.9337039384336801E-12</v>
      </c>
      <c r="U7" s="8">
        <f>$A$3*$D$4*SIGN($G7-U$4)/($G7-U$4)^2</f>
        <v>-1.7790720533111202E-12</v>
      </c>
      <c r="V7" s="8">
        <f>$A$3*$D$4*SIGN($G7-V$4)/($G7-V$4)^2</f>
        <v>-1.6422729719338714E-12</v>
      </c>
      <c r="W7" s="8">
        <f>$A$3*$D$4*SIGN($G7-W$4)/($G7-W$4)^2</f>
        <v>-1.5206664293342826E-12</v>
      </c>
      <c r="X7" s="8">
        <f>$A$3*$D$4*SIGN($G7-X$4)/($G7-X$4)^2</f>
        <v>-1.4120833057851238E-12</v>
      </c>
      <c r="Y7" s="6">
        <f t="shared" ref="Y7:Y18" si="1">SUM(I7:X7)</f>
        <v>-5.0804486853651148E-11</v>
      </c>
      <c r="Z7" s="1"/>
      <c r="AA7" s="1"/>
    </row>
    <row r="8" spans="1:27" x14ac:dyDescent="0.25">
      <c r="G8">
        <f t="shared" ref="G8:G18" si="2">G7+(1/4)</f>
        <v>-0.5</v>
      </c>
      <c r="I8" s="8">
        <f>$A$3*$D$4*SIGN($G8-I$4)/($G8-I$4)^2</f>
        <v>-1.4780456747404844E-11</v>
      </c>
      <c r="J8" s="8">
        <f>$A$3*$D$4*SIGN($G8-J$4)/($G8-J$4)^2</f>
        <v>-1.1832554016620497E-11</v>
      </c>
      <c r="K8" s="8">
        <f>$A$3*$D$4*SIGN($G8-K$4)/($G8-K$4)^2</f>
        <v>-9.6860589569160981E-12</v>
      </c>
      <c r="L8" s="8">
        <f>$A$3*$D$4*SIGN($G8-L$4)/($G8-L$4)^2</f>
        <v>-8.0747674858223054E-12</v>
      </c>
      <c r="M8" s="8">
        <f>$A$3*$D$4*SIGN($G8-M$4)/($G8-M$4)^2</f>
        <v>-6.8344831999999996E-12</v>
      </c>
      <c r="N8" s="8">
        <f>$A$3*$D$4*SIGN($G8-N$4)/($G8-N$4)^2</f>
        <v>-5.8594677640603565E-12</v>
      </c>
      <c r="O8" s="8">
        <f>$A$3*$D$4*SIGN($G8-O$4)/($G8-O$4)^2</f>
        <v>-5.0791343638525559E-12</v>
      </c>
      <c r="P8" s="8">
        <f>$A$3*$D$4*SIGN($G8-P$4)/($G8-P$4)^2</f>
        <v>-4.4449032258064514E-12</v>
      </c>
      <c r="Q8" s="8">
        <f>$A$3*$D$4*SIGN($G8-Q$4)/($G8-Q$4)^2</f>
        <v>-3.9224536271808994E-12</v>
      </c>
      <c r="R8" s="8">
        <f>$A$3*$D$4*SIGN($G8-R$4)/($G8-R$4)^2</f>
        <v>-3.4869812244897956E-12</v>
      </c>
      <c r="S8" s="8">
        <f>$A$3*$D$4*SIGN($G8-S$4)/($G8-S$4)^2</f>
        <v>-3.1201986851716579E-12</v>
      </c>
      <c r="T8" s="8">
        <f>$A$3*$D$4*SIGN($G8-T$4)/($G8-T$4)^2</f>
        <v>-2.8083839579224193E-12</v>
      </c>
      <c r="U8" s="8">
        <f>$A$3*$D$4*SIGN($G8-U$4)/($G8-U$4)^2</f>
        <v>-2.5410779298036882E-12</v>
      </c>
      <c r="V8" s="8">
        <f>$A$3*$D$4*SIGN($G8-V$4)/($G8-V$4)^2</f>
        <v>-2.3101957815035153E-12</v>
      </c>
      <c r="W8" s="8">
        <f>$A$3*$D$4*SIGN($G8-W$4)/($G8-W$4)^2</f>
        <v>-2.1094083950617284E-12</v>
      </c>
      <c r="X8" s="8">
        <f>$A$3*$D$4*SIGN($G8-X$4)/($G8-X$4)^2</f>
        <v>-1.9337039384336801E-12</v>
      </c>
      <c r="Y8" s="6">
        <f t="shared" si="1"/>
        <v>-8.8824229300050502E-11</v>
      </c>
      <c r="Z8" s="1"/>
      <c r="AA8" s="1"/>
    </row>
    <row r="9" spans="1:27" x14ac:dyDescent="0.25">
      <c r="G9">
        <f t="shared" si="2"/>
        <v>-0.25</v>
      </c>
      <c r="I9" s="8">
        <f>$A$3*$D$4*SIGN($G9-I$4)/($G9-I$4)^2</f>
        <v>-5.2735209876543207E-11</v>
      </c>
      <c r="J9" s="8">
        <f>$A$3*$D$4*SIGN($G9-J$4)/($G9-J$4)^2</f>
        <v>-3.5302082644628097E-11</v>
      </c>
      <c r="K9" s="8">
        <f>$A$3*$D$4*SIGN($G9-K$4)/($G9-K$4)^2</f>
        <v>-2.5275455621301774E-11</v>
      </c>
      <c r="L9" s="8">
        <f>$A$3*$D$4*SIGN($G9-L$4)/($G9-L$4)^2</f>
        <v>-1.8984675555555553E-11</v>
      </c>
      <c r="M9" s="8">
        <f>$A$3*$D$4*SIGN($G9-M$4)/($G9-M$4)^2</f>
        <v>-1.4780456747404844E-11</v>
      </c>
      <c r="N9" s="8">
        <f>$A$3*$D$4*SIGN($G9-N$4)/($G9-N$4)^2</f>
        <v>-1.1832554016620497E-11</v>
      </c>
      <c r="O9" s="8">
        <f>$A$3*$D$4*SIGN($G9-O$4)/($G9-O$4)^2</f>
        <v>-9.6860589569160981E-12</v>
      </c>
      <c r="P9" s="8">
        <f>$A$3*$D$4*SIGN($G9-P$4)/($G9-P$4)^2</f>
        <v>-8.0747674858223054E-12</v>
      </c>
      <c r="Q9" s="8">
        <f>$A$3*$D$4*SIGN($G9-Q$4)/($G9-Q$4)^2</f>
        <v>-6.8344831999999996E-12</v>
      </c>
      <c r="R9" s="8">
        <f>$A$3*$D$4*SIGN($G9-R$4)/($G9-R$4)^2</f>
        <v>-5.8594677640603565E-12</v>
      </c>
      <c r="S9" s="8">
        <f>$A$3*$D$4*SIGN($G9-S$4)/($G9-S$4)^2</f>
        <v>-5.0791343638525559E-12</v>
      </c>
      <c r="T9" s="8">
        <f>$A$3*$D$4*SIGN($G9-T$4)/($G9-T$4)^2</f>
        <v>-4.4449032258064514E-12</v>
      </c>
      <c r="U9" s="8">
        <f>$A$3*$D$4*SIGN($G9-U$4)/($G9-U$4)^2</f>
        <v>-3.9224536271808994E-12</v>
      </c>
      <c r="V9" s="8">
        <f>$A$3*$D$4*SIGN($G9-V$4)/($G9-V$4)^2</f>
        <v>-3.4869812244897956E-12</v>
      </c>
      <c r="W9" s="8">
        <f>$A$3*$D$4*SIGN($G9-W$4)/($G9-W$4)^2</f>
        <v>-3.1201986851716579E-12</v>
      </c>
      <c r="X9" s="8">
        <f>$A$3*$D$4*SIGN($G9-X$4)/($G9-X$4)^2</f>
        <v>-2.8083839579224193E-12</v>
      </c>
      <c r="Y9" s="6">
        <f t="shared" si="1"/>
        <v>-2.1222726695327648E-10</v>
      </c>
      <c r="Z9" s="1"/>
      <c r="AA9" s="1"/>
    </row>
    <row r="10" spans="1:27" x14ac:dyDescent="0.25">
      <c r="G10">
        <f t="shared" si="2"/>
        <v>0</v>
      </c>
      <c r="I10" s="8">
        <f>$A$3*$D$4*SIGN($G10-I$4)/($G10-I$4)^2</f>
        <v>-4.2715519999999996E-9</v>
      </c>
      <c r="J10" s="8">
        <f>$A$3*$D$4*SIGN($G10-J$4)/($G10-J$4)^2</f>
        <v>-4.7461688888888888E-10</v>
      </c>
      <c r="K10" s="8">
        <f>$A$3*$D$4*SIGN($G10-K$4)/($G10-K$4)^2</f>
        <v>-1.7086207999999998E-10</v>
      </c>
      <c r="L10" s="8">
        <f>$A$3*$D$4*SIGN($G10-L$4)/($G10-L$4)^2</f>
        <v>-8.717453061224489E-11</v>
      </c>
      <c r="M10" s="8">
        <f>$A$3*$D$4*SIGN($G10-M$4)/($G10-M$4)^2</f>
        <v>-5.2735209876543207E-11</v>
      </c>
      <c r="N10" s="8">
        <f>$A$3*$D$4*SIGN($G10-N$4)/($G10-N$4)^2</f>
        <v>-3.5302082644628097E-11</v>
      </c>
      <c r="O10" s="8">
        <f>$A$3*$D$4*SIGN($G10-O$4)/($G10-O$4)^2</f>
        <v>-2.5275455621301774E-11</v>
      </c>
      <c r="P10" s="8">
        <f>$A$3*$D$4*SIGN($G10-P$4)/($G10-P$4)^2</f>
        <v>-1.8984675555555553E-11</v>
      </c>
      <c r="Q10" s="8">
        <f>$A$3*$D$4*SIGN($G10-Q$4)/($G10-Q$4)^2</f>
        <v>-1.4780456747404844E-11</v>
      </c>
      <c r="R10" s="8">
        <f>$A$3*$D$4*SIGN($G10-R$4)/($G10-R$4)^2</f>
        <v>-1.1832554016620497E-11</v>
      </c>
      <c r="S10" s="8">
        <f>$A$3*$D$4*SIGN($G10-S$4)/($G10-S$4)^2</f>
        <v>-9.6860589569160981E-12</v>
      </c>
      <c r="T10" s="8">
        <f>$A$3*$D$4*SIGN($G10-T$4)/($G10-T$4)^2</f>
        <v>-8.0747674858223054E-12</v>
      </c>
      <c r="U10" s="8">
        <f>$A$3*$D$4*SIGN($G10-U$4)/($G10-U$4)^2</f>
        <v>-6.8344831999999996E-12</v>
      </c>
      <c r="V10" s="8">
        <f>$A$3*$D$4*SIGN($G10-V$4)/($G10-V$4)^2</f>
        <v>-5.8594677640603565E-12</v>
      </c>
      <c r="W10" s="8">
        <f>$A$3*$D$4*SIGN($G10-W$4)/($G10-W$4)^2</f>
        <v>-5.0791343638525559E-12</v>
      </c>
      <c r="X10" s="8">
        <f>$A$3*$D$4*SIGN($G10-X$4)/($G10-X$4)^2</f>
        <v>-4.4449032258064514E-12</v>
      </c>
      <c r="Y10" s="6">
        <f t="shared" si="1"/>
        <v>-5.2030947489596425E-9</v>
      </c>
      <c r="Z10" s="1"/>
      <c r="AA10" s="1"/>
    </row>
    <row r="11" spans="1:27" x14ac:dyDescent="0.25">
      <c r="G11">
        <f t="shared" si="2"/>
        <v>0.25</v>
      </c>
      <c r="I11" s="8">
        <f>$A$3*$D$4*SIGN($G11-I$4)/($G11-I$4)^2</f>
        <v>8.717453061224489E-11</v>
      </c>
      <c r="J11" s="8">
        <f>$A$3*$D$4*SIGN($G11-J$4)/($G11-J$4)^2</f>
        <v>1.7086207999999998E-10</v>
      </c>
      <c r="K11" s="8">
        <f>$A$3*$D$4*SIGN($G11-K$4)/($G11-K$4)^2</f>
        <v>4.7461688888888888E-10</v>
      </c>
      <c r="L11" s="8">
        <f>$A$3*$D$4*SIGN($G11-L$4)/($G11-L$4)^2</f>
        <v>4.2715519999999996E-9</v>
      </c>
      <c r="M11" s="8">
        <f>$A$3*$D$4*SIGN($G11-M$4)/($G11-M$4)^2</f>
        <v>-4.2715519999999996E-9</v>
      </c>
      <c r="N11" s="8">
        <f>$A$3*$D$4*SIGN($G11-N$4)/($G11-N$4)^2</f>
        <v>-4.7461688888888888E-10</v>
      </c>
      <c r="O11" s="8">
        <f>$A$3*$D$4*SIGN($G11-O$4)/($G11-O$4)^2</f>
        <v>-1.7086207999999998E-10</v>
      </c>
      <c r="P11" s="8">
        <f>$A$3*$D$4*SIGN($G11-P$4)/($G11-P$4)^2</f>
        <v>-8.717453061224489E-11</v>
      </c>
      <c r="Q11" s="8">
        <f>$A$3*$D$4*SIGN($G11-Q$4)/($G11-Q$4)^2</f>
        <v>-5.2735209876543207E-11</v>
      </c>
      <c r="R11" s="8">
        <f>$A$3*$D$4*SIGN($G11-R$4)/($G11-R$4)^2</f>
        <v>-3.5302082644628097E-11</v>
      </c>
      <c r="S11" s="8">
        <f>$A$3*$D$4*SIGN($G11-S$4)/($G11-S$4)^2</f>
        <v>-2.5275455621301774E-11</v>
      </c>
      <c r="T11" s="8">
        <f>$A$3*$D$4*SIGN($G11-T$4)/($G11-T$4)^2</f>
        <v>-1.8984675555555553E-11</v>
      </c>
      <c r="U11" s="8">
        <f>$A$3*$D$4*SIGN($G11-U$4)/($G11-U$4)^2</f>
        <v>-1.4780456747404844E-11</v>
      </c>
      <c r="V11" s="8">
        <f>$A$3*$D$4*SIGN($G11-V$4)/($G11-V$4)^2</f>
        <v>-1.1832554016620497E-11</v>
      </c>
      <c r="W11" s="8">
        <f>$A$3*$D$4*SIGN($G11-W$4)/($G11-W$4)^2</f>
        <v>-9.6860589569160981E-12</v>
      </c>
      <c r="X11" s="8">
        <f>$A$3*$D$4*SIGN($G11-X$4)/($G11-X$4)^2</f>
        <v>-8.0747674858223054E-12</v>
      </c>
      <c r="Y11" s="6">
        <f t="shared" si="1"/>
        <v>-1.7667126090479272E-10</v>
      </c>
      <c r="Z11" s="1"/>
      <c r="AA11" s="1"/>
    </row>
    <row r="12" spans="1:27" x14ac:dyDescent="0.25">
      <c r="G12">
        <f t="shared" si="2"/>
        <v>0.5</v>
      </c>
      <c r="I12" s="8">
        <f>$A$3*$D$4*SIGN($G12-I$4)/($G12-I$4)^2</f>
        <v>1.8984675555555553E-11</v>
      </c>
      <c r="J12" s="8">
        <f>$A$3*$D$4*SIGN($G12-J$4)/($G12-J$4)^2</f>
        <v>2.5275455621301774E-11</v>
      </c>
      <c r="K12" s="8">
        <f>$A$3*$D$4*SIGN($G12-K$4)/($G12-K$4)^2</f>
        <v>3.5302082644628097E-11</v>
      </c>
      <c r="L12" s="8">
        <f>$A$3*$D$4*SIGN($G12-L$4)/($G12-L$4)^2</f>
        <v>5.2735209876543207E-11</v>
      </c>
      <c r="M12" s="8">
        <f>$A$3*$D$4*SIGN($G12-M$4)/($G12-M$4)^2</f>
        <v>8.717453061224489E-11</v>
      </c>
      <c r="N12" s="8">
        <f>$A$3*$D$4*SIGN($G12-N$4)/($G12-N$4)^2</f>
        <v>1.7086207999999998E-10</v>
      </c>
      <c r="O12" s="8">
        <f>$A$3*$D$4*SIGN($G12-O$4)/($G12-O$4)^2</f>
        <v>4.7461688888888888E-10</v>
      </c>
      <c r="P12" s="8">
        <f>$A$3*$D$4*SIGN($G12-P$4)/($G12-P$4)^2</f>
        <v>4.2715519999999996E-9</v>
      </c>
      <c r="Q12" s="8">
        <f>$A$3*$D$4*SIGN($G12-Q$4)/($G12-Q$4)^2</f>
        <v>-4.2715519999999996E-9</v>
      </c>
      <c r="R12" s="8">
        <f>$A$3*$D$4*SIGN($G12-R$4)/($G12-R$4)^2</f>
        <v>-4.7461688888888888E-10</v>
      </c>
      <c r="S12" s="8">
        <f>$A$3*$D$4*SIGN($G12-S$4)/($G12-S$4)^2</f>
        <v>-1.7086207999999998E-10</v>
      </c>
      <c r="T12" s="8">
        <f>$A$3*$D$4*SIGN($G12-T$4)/($G12-T$4)^2</f>
        <v>-8.717453061224489E-11</v>
      </c>
      <c r="U12" s="8">
        <f>$A$3*$D$4*SIGN($G12-U$4)/($G12-U$4)^2</f>
        <v>-5.2735209876543207E-11</v>
      </c>
      <c r="V12" s="8">
        <f>$A$3*$D$4*SIGN($G12-V$4)/($G12-V$4)^2</f>
        <v>-3.5302082644628097E-11</v>
      </c>
      <c r="W12" s="8">
        <f>$A$3*$D$4*SIGN($G12-W$4)/($G12-W$4)^2</f>
        <v>-2.5275455621301774E-11</v>
      </c>
      <c r="X12" s="8">
        <f>$A$3*$D$4*SIGN($G12-X$4)/($G12-X$4)^2</f>
        <v>-1.8984675555555553E-11</v>
      </c>
      <c r="Y12" s="6">
        <f t="shared" si="1"/>
        <v>3.5866034372416434E-25</v>
      </c>
      <c r="Z12" s="1"/>
      <c r="AA12" s="1"/>
    </row>
    <row r="13" spans="1:27" x14ac:dyDescent="0.25">
      <c r="G13">
        <f t="shared" si="2"/>
        <v>0.75</v>
      </c>
      <c r="I13" s="8">
        <f>$A$3*$D$4*SIGN($G13-I$4)/($G13-I$4)^2</f>
        <v>8.0747674858223054E-12</v>
      </c>
      <c r="J13" s="8">
        <f>$A$3*$D$4*SIGN($G13-J$4)/($G13-J$4)^2</f>
        <v>9.6860589569160981E-12</v>
      </c>
      <c r="K13" s="8">
        <f>$A$3*$D$4*SIGN($G13-K$4)/($G13-K$4)^2</f>
        <v>1.1832554016620497E-11</v>
      </c>
      <c r="L13" s="8">
        <f>$A$3*$D$4*SIGN($G13-L$4)/($G13-L$4)^2</f>
        <v>1.4780456747404844E-11</v>
      </c>
      <c r="M13" s="8">
        <f>$A$3*$D$4*SIGN($G13-M$4)/($G13-M$4)^2</f>
        <v>1.8984675555555553E-11</v>
      </c>
      <c r="N13" s="8">
        <f>$A$3*$D$4*SIGN($G13-N$4)/($G13-N$4)^2</f>
        <v>2.5275455621301774E-11</v>
      </c>
      <c r="O13" s="8">
        <f>$A$3*$D$4*SIGN($G13-O$4)/($G13-O$4)^2</f>
        <v>3.5302082644628097E-11</v>
      </c>
      <c r="P13" s="8">
        <f>$A$3*$D$4*SIGN($G13-P$4)/($G13-P$4)^2</f>
        <v>5.2735209876543207E-11</v>
      </c>
      <c r="Q13" s="8">
        <f>$A$3*$D$4*SIGN($G13-Q$4)/($G13-Q$4)^2</f>
        <v>8.717453061224489E-11</v>
      </c>
      <c r="R13" s="8">
        <f>$A$3*$D$4*SIGN($G13-R$4)/($G13-R$4)^2</f>
        <v>1.7086207999999998E-10</v>
      </c>
      <c r="S13" s="8">
        <f>$A$3*$D$4*SIGN($G13-S$4)/($G13-S$4)^2</f>
        <v>4.7461688888888888E-10</v>
      </c>
      <c r="T13" s="8">
        <f>$A$3*$D$4*SIGN($G13-T$4)/($G13-T$4)^2</f>
        <v>4.2715519999999996E-9</v>
      </c>
      <c r="U13" s="8">
        <f>$A$3*$D$4*SIGN($G13-U$4)/($G13-U$4)^2</f>
        <v>-4.2715519999999996E-9</v>
      </c>
      <c r="V13" s="8">
        <f>$A$3*$D$4*SIGN($G13-V$4)/($G13-V$4)^2</f>
        <v>-4.7461688888888888E-10</v>
      </c>
      <c r="W13" s="8">
        <f>$A$3*$D$4*SIGN($G13-W$4)/($G13-W$4)^2</f>
        <v>-1.7086207999999998E-10</v>
      </c>
      <c r="X13" s="8">
        <f>$A$3*$D$4*SIGN($G13-X$4)/($G13-X$4)^2</f>
        <v>-8.717453061224489E-11</v>
      </c>
      <c r="Y13" s="6">
        <f t="shared" si="1"/>
        <v>1.7667126090479192E-10</v>
      </c>
      <c r="Z13" s="1"/>
      <c r="AA13" s="1"/>
    </row>
    <row r="14" spans="1:27" x14ac:dyDescent="0.25">
      <c r="G14">
        <f t="shared" si="2"/>
        <v>1</v>
      </c>
      <c r="I14" s="8">
        <f>$A$3*$D$4*SIGN($G14-I$4)/($G14-I$4)^2</f>
        <v>4.4449032258064514E-12</v>
      </c>
      <c r="J14" s="8">
        <f>$A$3*$D$4*SIGN($G14-J$4)/($G14-J$4)^2</f>
        <v>5.0791343638525559E-12</v>
      </c>
      <c r="K14" s="8">
        <f>$A$3*$D$4*SIGN($G14-K$4)/($G14-K$4)^2</f>
        <v>5.8594677640603565E-12</v>
      </c>
      <c r="L14" s="8">
        <f>$A$3*$D$4*SIGN($G14-L$4)/($G14-L$4)^2</f>
        <v>6.8344831999999996E-12</v>
      </c>
      <c r="M14" s="8">
        <f>$A$3*$D$4*SIGN($G14-M$4)/($G14-M$4)^2</f>
        <v>8.0747674858223054E-12</v>
      </c>
      <c r="N14" s="8">
        <f>$A$3*$D$4*SIGN($G14-N$4)/($G14-N$4)^2</f>
        <v>9.6860589569160981E-12</v>
      </c>
      <c r="O14" s="8">
        <f>$A$3*$D$4*SIGN($G14-O$4)/($G14-O$4)^2</f>
        <v>1.1832554016620497E-11</v>
      </c>
      <c r="P14" s="8">
        <f>$A$3*$D$4*SIGN($G14-P$4)/($G14-P$4)^2</f>
        <v>1.4780456747404844E-11</v>
      </c>
      <c r="Q14" s="8">
        <f>$A$3*$D$4*SIGN($G14-Q$4)/($G14-Q$4)^2</f>
        <v>1.8984675555555553E-11</v>
      </c>
      <c r="R14" s="8">
        <f>$A$3*$D$4*SIGN($G14-R$4)/($G14-R$4)^2</f>
        <v>2.5275455621301774E-11</v>
      </c>
      <c r="S14" s="8">
        <f>$A$3*$D$4*SIGN($G14-S$4)/($G14-S$4)^2</f>
        <v>3.5302082644628097E-11</v>
      </c>
      <c r="T14" s="8">
        <f>$A$3*$D$4*SIGN($G14-T$4)/($G14-T$4)^2</f>
        <v>5.2735209876543207E-11</v>
      </c>
      <c r="U14" s="8">
        <f>$A$3*$D$4*SIGN($G14-U$4)/($G14-U$4)^2</f>
        <v>8.717453061224489E-11</v>
      </c>
      <c r="V14" s="8">
        <f>$A$3*$D$4*SIGN($G14-V$4)/($G14-V$4)^2</f>
        <v>1.7086207999999998E-10</v>
      </c>
      <c r="W14" s="8">
        <f>$A$3*$D$4*SIGN($G14-W$4)/($G14-W$4)^2</f>
        <v>4.7461688888888888E-10</v>
      </c>
      <c r="X14" s="8">
        <f>$A$3*$D$4*SIGN($G14-X$4)/($G14-X$4)^2</f>
        <v>4.2715519999999996E-9</v>
      </c>
      <c r="Y14" s="6">
        <f t="shared" si="1"/>
        <v>5.2030947489596449E-9</v>
      </c>
      <c r="Z14" s="1"/>
      <c r="AA14" s="1"/>
    </row>
    <row r="15" spans="1:27" x14ac:dyDescent="0.25">
      <c r="G15">
        <f t="shared" si="2"/>
        <v>1.25</v>
      </c>
      <c r="I15" s="8">
        <f>$A$3*$D$4*SIGN($G15-I$4)/($G15-I$4)^2</f>
        <v>2.8083839579224193E-12</v>
      </c>
      <c r="J15" s="8">
        <f>$A$3*$D$4*SIGN($G15-J$4)/($G15-J$4)^2</f>
        <v>3.1201986851716579E-12</v>
      </c>
      <c r="K15" s="8">
        <f>$A$3*$D$4*SIGN($G15-K$4)/($G15-K$4)^2</f>
        <v>3.4869812244897956E-12</v>
      </c>
      <c r="L15" s="8">
        <f>$A$3*$D$4*SIGN($G15-L$4)/($G15-L$4)^2</f>
        <v>3.9224536271808994E-12</v>
      </c>
      <c r="M15" s="8">
        <f>$A$3*$D$4*SIGN($G15-M$4)/($G15-M$4)^2</f>
        <v>4.4449032258064514E-12</v>
      </c>
      <c r="N15" s="8">
        <f>$A$3*$D$4*SIGN($G15-N$4)/($G15-N$4)^2</f>
        <v>5.0791343638525559E-12</v>
      </c>
      <c r="O15" s="8">
        <f>$A$3*$D$4*SIGN($G15-O$4)/($G15-O$4)^2</f>
        <v>5.8594677640603565E-12</v>
      </c>
      <c r="P15" s="8">
        <f>$A$3*$D$4*SIGN($G15-P$4)/($G15-P$4)^2</f>
        <v>6.8344831999999996E-12</v>
      </c>
      <c r="Q15" s="8">
        <f>$A$3*$D$4*SIGN($G15-Q$4)/($G15-Q$4)^2</f>
        <v>8.0747674858223054E-12</v>
      </c>
      <c r="R15" s="8">
        <f>$A$3*$D$4*SIGN($G15-R$4)/($G15-R$4)^2</f>
        <v>9.6860589569160981E-12</v>
      </c>
      <c r="S15" s="8">
        <f>$A$3*$D$4*SIGN($G15-S$4)/($G15-S$4)^2</f>
        <v>1.1832554016620497E-11</v>
      </c>
      <c r="T15" s="8">
        <f>$A$3*$D$4*SIGN($G15-T$4)/($G15-T$4)^2</f>
        <v>1.4780456747404844E-11</v>
      </c>
      <c r="U15" s="8">
        <f>$A$3*$D$4*SIGN($G15-U$4)/($G15-U$4)^2</f>
        <v>1.8984675555555553E-11</v>
      </c>
      <c r="V15" s="8">
        <f>$A$3*$D$4*SIGN($G15-V$4)/($G15-V$4)^2</f>
        <v>2.5275455621301774E-11</v>
      </c>
      <c r="W15" s="8">
        <f>$A$3*$D$4*SIGN($G15-W$4)/($G15-W$4)^2</f>
        <v>3.5302082644628097E-11</v>
      </c>
      <c r="X15" s="8">
        <f>$A$3*$D$4*SIGN($G15-X$4)/($G15-X$4)^2</f>
        <v>5.2735209876543207E-11</v>
      </c>
      <c r="Y15" s="6">
        <f t="shared" si="1"/>
        <v>2.122272669532765E-10</v>
      </c>
      <c r="Z15" s="1"/>
      <c r="AA15" s="1"/>
    </row>
    <row r="16" spans="1:27" x14ac:dyDescent="0.25">
      <c r="G16">
        <f t="shared" si="2"/>
        <v>1.5</v>
      </c>
      <c r="I16" s="8">
        <f>$A$3*$D$4*SIGN($G16-I$4)/($G16-I$4)^2</f>
        <v>1.9337039384336801E-12</v>
      </c>
      <c r="J16" s="8">
        <f>$A$3*$D$4*SIGN($G16-J$4)/($G16-J$4)^2</f>
        <v>2.1094083950617284E-12</v>
      </c>
      <c r="K16" s="8">
        <f>$A$3*$D$4*SIGN($G16-K$4)/($G16-K$4)^2</f>
        <v>2.3101957815035153E-12</v>
      </c>
      <c r="L16" s="8">
        <f>$A$3*$D$4*SIGN($G16-L$4)/($G16-L$4)^2</f>
        <v>2.5410779298036882E-12</v>
      </c>
      <c r="M16" s="8">
        <f>$A$3*$D$4*SIGN($G16-M$4)/($G16-M$4)^2</f>
        <v>2.8083839579224193E-12</v>
      </c>
      <c r="N16" s="8">
        <f>$A$3*$D$4*SIGN($G16-N$4)/($G16-N$4)^2</f>
        <v>3.1201986851716579E-12</v>
      </c>
      <c r="O16" s="8">
        <f>$A$3*$D$4*SIGN($G16-O$4)/($G16-O$4)^2</f>
        <v>3.4869812244897956E-12</v>
      </c>
      <c r="P16" s="8">
        <f>$A$3*$D$4*SIGN($G16-P$4)/($G16-P$4)^2</f>
        <v>3.9224536271808994E-12</v>
      </c>
      <c r="Q16" s="8">
        <f>$A$3*$D$4*SIGN($G16-Q$4)/($G16-Q$4)^2</f>
        <v>4.4449032258064514E-12</v>
      </c>
      <c r="R16" s="8">
        <f>$A$3*$D$4*SIGN($G16-R$4)/($G16-R$4)^2</f>
        <v>5.0791343638525559E-12</v>
      </c>
      <c r="S16" s="8">
        <f>$A$3*$D$4*SIGN($G16-S$4)/($G16-S$4)^2</f>
        <v>5.8594677640603565E-12</v>
      </c>
      <c r="T16" s="8">
        <f>$A$3*$D$4*SIGN($G16-T$4)/($G16-T$4)^2</f>
        <v>6.8344831999999996E-12</v>
      </c>
      <c r="U16" s="8">
        <f>$A$3*$D$4*SIGN($G16-U$4)/($G16-U$4)^2</f>
        <v>8.0747674858223054E-12</v>
      </c>
      <c r="V16" s="8">
        <f>$A$3*$D$4*SIGN($G16-V$4)/($G16-V$4)^2</f>
        <v>9.6860589569160981E-12</v>
      </c>
      <c r="W16" s="8">
        <f>$A$3*$D$4*SIGN($G16-W$4)/($G16-W$4)^2</f>
        <v>1.1832554016620497E-11</v>
      </c>
      <c r="X16" s="8">
        <f>$A$3*$D$4*SIGN($G16-X$4)/($G16-X$4)^2</f>
        <v>1.4780456747404844E-11</v>
      </c>
      <c r="Y16" s="6">
        <f t="shared" si="1"/>
        <v>8.8824229300050502E-11</v>
      </c>
      <c r="Z16" s="1"/>
      <c r="AA16" s="1"/>
    </row>
    <row r="17" spans="7:27" x14ac:dyDescent="0.25">
      <c r="G17">
        <f t="shared" si="2"/>
        <v>1.75</v>
      </c>
      <c r="I17" s="8">
        <f>$A$3*$D$4*SIGN($G17-I$4)/($G17-I$4)^2</f>
        <v>1.4120833057851238E-12</v>
      </c>
      <c r="J17" s="8">
        <f>$A$3*$D$4*SIGN($G17-J$4)/($G17-J$4)^2</f>
        <v>1.5206664293342826E-12</v>
      </c>
      <c r="K17" s="8">
        <f>$A$3*$D$4*SIGN($G17-K$4)/($G17-K$4)^2</f>
        <v>1.6422729719338714E-12</v>
      </c>
      <c r="L17" s="8">
        <f>$A$3*$D$4*SIGN($G17-L$4)/($G17-L$4)^2</f>
        <v>1.7790720533111202E-12</v>
      </c>
      <c r="M17" s="8">
        <f>$A$3*$D$4*SIGN($G17-M$4)/($G17-M$4)^2</f>
        <v>1.9337039384336801E-12</v>
      </c>
      <c r="N17" s="8">
        <f>$A$3*$D$4*SIGN($G17-N$4)/($G17-N$4)^2</f>
        <v>2.1094083950617284E-12</v>
      </c>
      <c r="O17" s="8">
        <f>$A$3*$D$4*SIGN($G17-O$4)/($G17-O$4)^2</f>
        <v>2.3101957815035153E-12</v>
      </c>
      <c r="P17" s="8">
        <f>$A$3*$D$4*SIGN($G17-P$4)/($G17-P$4)^2</f>
        <v>2.5410779298036882E-12</v>
      </c>
      <c r="Q17" s="8">
        <f>$A$3*$D$4*SIGN($G17-Q$4)/($G17-Q$4)^2</f>
        <v>2.8083839579224193E-12</v>
      </c>
      <c r="R17" s="8">
        <f>$A$3*$D$4*SIGN($G17-R$4)/($G17-R$4)^2</f>
        <v>3.1201986851716579E-12</v>
      </c>
      <c r="S17" s="8">
        <f>$A$3*$D$4*SIGN($G17-S$4)/($G17-S$4)^2</f>
        <v>3.4869812244897956E-12</v>
      </c>
      <c r="T17" s="8">
        <f>$A$3*$D$4*SIGN($G17-T$4)/($G17-T$4)^2</f>
        <v>3.9224536271808994E-12</v>
      </c>
      <c r="U17" s="8">
        <f>$A$3*$D$4*SIGN($G17-U$4)/($G17-U$4)^2</f>
        <v>4.4449032258064514E-12</v>
      </c>
      <c r="V17" s="8">
        <f>$A$3*$D$4*SIGN($G17-V$4)/($G17-V$4)^2</f>
        <v>5.0791343638525559E-12</v>
      </c>
      <c r="W17" s="8">
        <f>$A$3*$D$4*SIGN($G17-W$4)/($G17-W$4)^2</f>
        <v>5.8594677640603565E-12</v>
      </c>
      <c r="X17" s="8">
        <f>$A$3*$D$4*SIGN($G17-X$4)/($G17-X$4)^2</f>
        <v>6.8344831999999996E-12</v>
      </c>
      <c r="Y17" s="6">
        <f t="shared" si="1"/>
        <v>5.0804486853651142E-11</v>
      </c>
      <c r="Z17" s="1"/>
      <c r="AA17" s="1"/>
    </row>
    <row r="18" spans="7:27" x14ac:dyDescent="0.25">
      <c r="G18">
        <f t="shared" si="2"/>
        <v>2</v>
      </c>
      <c r="I18" s="8">
        <f>$A$3*$D$4*SIGN($G18-I$4)/($G18-I$4)^2</f>
        <v>1.0762287729906776E-12</v>
      </c>
      <c r="J18" s="8">
        <f>$A$3*$D$4*SIGN($G18-J$4)/($G18-J$4)^2</f>
        <v>1.1479580757860789E-12</v>
      </c>
      <c r="K18" s="8">
        <f>$A$3*$D$4*SIGN($G18-K$4)/($G18-K$4)^2</f>
        <v>1.2271048549267451E-12</v>
      </c>
      <c r="L18" s="8">
        <f>$A$3*$D$4*SIGN($G18-L$4)/($G18-L$4)^2</f>
        <v>1.3147282240689442E-12</v>
      </c>
      <c r="M18" s="8">
        <f>$A$3*$D$4*SIGN($G18-M$4)/($G18-M$4)^2</f>
        <v>1.4120833057851238E-12</v>
      </c>
      <c r="N18" s="8">
        <f>$A$3*$D$4*SIGN($G18-N$4)/($G18-N$4)^2</f>
        <v>1.5206664293342826E-12</v>
      </c>
      <c r="O18" s="8">
        <f>$A$3*$D$4*SIGN($G18-O$4)/($G18-O$4)^2</f>
        <v>1.6422729719338714E-12</v>
      </c>
      <c r="P18" s="8">
        <f>$A$3*$D$4*SIGN($G18-P$4)/($G18-P$4)^2</f>
        <v>1.7790720533111202E-12</v>
      </c>
      <c r="Q18" s="8">
        <f>$A$3*$D$4*SIGN($G18-Q$4)/($G18-Q$4)^2</f>
        <v>1.9337039384336801E-12</v>
      </c>
      <c r="R18" s="8">
        <f>$A$3*$D$4*SIGN($G18-R$4)/($G18-R$4)^2</f>
        <v>2.1094083950617284E-12</v>
      </c>
      <c r="S18" s="8">
        <f>$A$3*$D$4*SIGN($G18-S$4)/($G18-S$4)^2</f>
        <v>2.3101957815035153E-12</v>
      </c>
      <c r="T18" s="8">
        <f>$A$3*$D$4*SIGN($G18-T$4)/($G18-T$4)^2</f>
        <v>2.5410779298036882E-12</v>
      </c>
      <c r="U18" s="8">
        <f>$A$3*$D$4*SIGN($G18-U$4)/($G18-U$4)^2</f>
        <v>2.8083839579224193E-12</v>
      </c>
      <c r="V18" s="8">
        <f>$A$3*$D$4*SIGN($G18-V$4)/($G18-V$4)^2</f>
        <v>3.1201986851716579E-12</v>
      </c>
      <c r="W18" s="8">
        <f>$A$3*$D$4*SIGN($G18-W$4)/($G18-W$4)^2</f>
        <v>3.4869812244897956E-12</v>
      </c>
      <c r="X18" s="8">
        <f>$A$3*$D$4*SIGN($G18-X$4)/($G18-X$4)^2</f>
        <v>3.9224536271808994E-12</v>
      </c>
      <c r="Y18" s="6">
        <f t="shared" si="1"/>
        <v>3.335251822770423E-11</v>
      </c>
      <c r="Z18" s="1"/>
      <c r="AA18" s="1"/>
    </row>
    <row r="19" spans="7:27" x14ac:dyDescent="0.25"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Ahmil Jilani</dc:creator>
  <cp:lastModifiedBy>Ahmil Jilani</cp:lastModifiedBy>
  <dcterms:created xsi:type="dcterms:W3CDTF">2026-03-22T11:49:46Z</dcterms:created>
  <dcterms:modified xsi:type="dcterms:W3CDTF">2026-03-22T19:46:53Z</dcterms:modified>
</cp:coreProperties>
</file>